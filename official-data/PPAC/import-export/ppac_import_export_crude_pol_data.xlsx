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17"/>
  <workbookPr defaultThemeVersion="166925"/>
  <xr:revisionPtr revIDLastSave="0" documentId="8_{FE1BE436-78CC-4C65-9B4D-EEFBFA1B49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K38" i="1"/>
  <c r="J38" i="1"/>
  <c r="I38" i="1"/>
  <c r="H38" i="1"/>
  <c r="G38" i="1"/>
  <c r="F38" i="1"/>
  <c r="E38" i="1"/>
  <c r="D38" i="1"/>
  <c r="C38" i="1"/>
  <c r="B38" i="1"/>
  <c r="N37" i="1"/>
  <c r="N36" i="1"/>
  <c r="N35" i="1"/>
  <c r="N34" i="1"/>
  <c r="N33" i="1"/>
  <c r="N32" i="1"/>
  <c r="N31" i="1"/>
  <c r="N30" i="1"/>
  <c r="N29" i="1"/>
  <c r="N28" i="1"/>
  <c r="N27" i="1"/>
  <c r="N26" i="1"/>
  <c r="N38" i="1" s="1"/>
  <c r="M23" i="1"/>
  <c r="M24" i="1" s="1"/>
  <c r="M39" i="1" s="1"/>
  <c r="L23" i="1"/>
  <c r="L24" i="1" s="1"/>
  <c r="L39" i="1" s="1"/>
  <c r="K23" i="1"/>
  <c r="K24" i="1" s="1"/>
  <c r="K39" i="1" s="1"/>
  <c r="J23" i="1"/>
  <c r="J24" i="1" s="1"/>
  <c r="J39" i="1" s="1"/>
  <c r="I23" i="1"/>
  <c r="I24" i="1" s="1"/>
  <c r="I39" i="1" s="1"/>
  <c r="H23" i="1"/>
  <c r="H24" i="1" s="1"/>
  <c r="H39" i="1" s="1"/>
  <c r="G23" i="1"/>
  <c r="G24" i="1" s="1"/>
  <c r="G39" i="1" s="1"/>
  <c r="F23" i="1"/>
  <c r="F24" i="1" s="1"/>
  <c r="F39" i="1" s="1"/>
  <c r="E23" i="1"/>
  <c r="E24" i="1" s="1"/>
  <c r="E39" i="1" s="1"/>
  <c r="D23" i="1"/>
  <c r="D24" i="1" s="1"/>
  <c r="D39" i="1" s="1"/>
  <c r="C23" i="1"/>
  <c r="C24" i="1" s="1"/>
  <c r="C39" i="1" s="1"/>
  <c r="B23" i="1"/>
  <c r="B24" i="1" s="1"/>
  <c r="B39" i="1" s="1"/>
  <c r="N22" i="1"/>
  <c r="N21" i="1"/>
  <c r="N20" i="1"/>
  <c r="N19" i="1"/>
  <c r="N18" i="1"/>
  <c r="N17" i="1"/>
  <c r="N16" i="1"/>
  <c r="N15" i="1"/>
  <c r="N14" i="1"/>
  <c r="N13" i="1"/>
  <c r="N12" i="1"/>
  <c r="N23" i="1" s="1"/>
  <c r="N10" i="1"/>
  <c r="A5" i="1"/>
  <c r="N24" i="1" l="1"/>
  <c r="N39" i="1" s="1"/>
</calcChain>
</file>

<file path=xl/sharedStrings.xml><?xml version="1.0" encoding="utf-8"?>
<sst xmlns="http://schemas.openxmlformats.org/spreadsheetml/2006/main" count="57" uniqueCount="52">
  <si>
    <t>Petroleum Planning &amp; Analysis Cell</t>
  </si>
  <si>
    <t>('000 Metric Tonnes)</t>
  </si>
  <si>
    <t>Import/Export of Crude oil and Petroleum Products</t>
  </si>
  <si>
    <t>IMPORT/EXPORT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</si>
  <si>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</si>
  <si>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</si>
  <si>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</si>
  <si>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</si>
  <si>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</si>
  <si>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</si>
  <si>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</si>
  <si>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</si>
  <si>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</si>
  <si>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</si>
  <si>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</si>
  <si>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</si>
  <si>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</si>
  <si>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IMPORT^</t>
  </si>
  <si>
    <t xml:space="preserve"> CRUDE OIL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</si>
  <si>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</si>
  <si>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</si>
  <si>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</si>
  <si>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</si>
  <si>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</si>
  <si>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</si>
  <si>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</si>
  <si>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</si>
  <si>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</si>
  <si>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</si>
  <si>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</si>
  <si>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</si>
  <si>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PRODUCT IMPORT*</t>
  </si>
  <si>
    <t>TOTAL IMPORT</t>
  </si>
  <si>
    <r>
      <t xml:space="preserve"> PRODUCT EXPORT</t>
    </r>
    <r>
      <rPr>
        <b/>
        <vertAlign val="superscript"/>
        <sz val="12"/>
        <color indexed="8"/>
        <rFont val="Times New Roman"/>
        <family val="1"/>
      </rPr>
      <t xml:space="preserve"> @</t>
    </r>
  </si>
  <si>
    <t>MS!</t>
  </si>
  <si>
    <t>Naphtha$</t>
  </si>
  <si>
    <t>ATF#</t>
  </si>
  <si>
    <t>LDO</t>
  </si>
  <si>
    <t>LOBS/ Lube Oil</t>
  </si>
  <si>
    <t>Petcoke / CBFS</t>
  </si>
  <si>
    <t>Others%</t>
  </si>
  <si>
    <t>TOTAL  PRODUCT EXPORT</t>
  </si>
  <si>
    <t>NET IMPORT</t>
  </si>
  <si>
    <t>Source: Oil Companies &amp; DGCIS , All Figures are provisional</t>
  </si>
  <si>
    <t>Notes:</t>
  </si>
  <si>
    <t>RIL SEZ imports/exports included in country's import/export data</t>
  </si>
  <si>
    <t xml:space="preserve">^LNG import not included </t>
  </si>
  <si>
    <t>&amp; Others in import include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</si>
  <si>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</si>
  <si>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</si>
  <si>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</si>
  <si>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Benzene, Hexane, MTO, Sulphur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</si>
</sst>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2"/>
      <color indexed="8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9" fillId="0" borderId="0"/>
    <xf numFmtId="0" fontId="1" fillId="0" borderId="0"/>
  </cellStyleXfs>
  <cellXfs count="33">
    <xf numFmtId="0" fontId="0" fillId="0" borderId="0" xfId="0"/>
    <xf numFmtId="0" fontId="2" fillId="0" borderId="0" xfId="1" applyFont="1"/>
    <xf numFmtId="0" fontId="4" fillId="0" borderId="0" xfId="2" applyFont="1"/>
    <xf numFmtId="0" fontId="5" fillId="0" borderId="0" xfId="2" applyFont="1"/>
    <xf numFmtId="0" fontId="6" fillId="0" borderId="0" xfId="2" applyFont="1"/>
    <xf numFmtId="0" fontId="6" fillId="0" borderId="0" xfId="2" quotePrefix="1" applyFont="1" applyAlignment="1">
      <alignment horizontal="center"/>
    </xf>
    <xf numFmtId="15" fontId="7" fillId="0" borderId="0" xfId="1" applyNumberFormat="1" applyFont="1"/>
    <xf numFmtId="0" fontId="7" fillId="0" borderId="0" xfId="1" applyFont="1"/>
    <xf numFmtId="0" fontId="8" fillId="0" borderId="0" xfId="2" applyFont="1" applyAlignment="1">
      <alignment horizontal="right"/>
    </xf>
    <xf numFmtId="0" fontId="6" fillId="2" borderId="1" xfId="2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1" fontId="10" fillId="4" borderId="1" xfId="3" applyNumberFormat="1" applyFont="1" applyFill="1" applyBorder="1" applyAlignment="1">
      <alignment horizontal="left"/>
    </xf>
    <xf numFmtId="1" fontId="4" fillId="4" borderId="1" xfId="3" applyNumberFormat="1" applyFont="1" applyFill="1" applyBorder="1" applyAlignment="1">
      <alignment horizontal="center"/>
    </xf>
    <xf numFmtId="1" fontId="10" fillId="4" borderId="1" xfId="3" applyNumberFormat="1" applyFont="1" applyFill="1" applyBorder="1" applyAlignment="1">
      <alignment horizontal="center"/>
    </xf>
    <xf numFmtId="1" fontId="11" fillId="4" borderId="1" xfId="3" applyNumberFormat="1" applyFont="1" applyFill="1" applyBorder="1" applyAlignment="1">
      <alignment horizontal="right"/>
    </xf>
    <xf numFmtId="1" fontId="12" fillId="4" borderId="1" xfId="3" applyNumberFormat="1" applyFont="1" applyFill="1" applyBorder="1" applyAlignment="1">
      <alignment horizontal="right"/>
    </xf>
    <xf numFmtId="3" fontId="11" fillId="4" borderId="1" xfId="3" applyNumberFormat="1" applyFont="1" applyFill="1" applyBorder="1" applyAlignment="1">
      <alignment horizontal="right"/>
    </xf>
    <xf numFmtId="0" fontId="10" fillId="5" borderId="1" xfId="1" applyFont="1" applyFill="1" applyBorder="1" applyAlignment="1">
      <alignment horizontal="center"/>
    </xf>
    <xf numFmtId="1" fontId="12" fillId="5" borderId="1" xfId="1" applyNumberFormat="1" applyFont="1" applyFill="1" applyBorder="1" applyAlignment="1">
      <alignment horizontal="right"/>
    </xf>
    <xf numFmtId="0" fontId="10" fillId="5" borderId="1" xfId="1" applyFont="1" applyFill="1" applyBorder="1"/>
    <xf numFmtId="1" fontId="10" fillId="4" borderId="1" xfId="1" applyNumberFormat="1" applyFont="1" applyFill="1" applyBorder="1" applyAlignment="1">
      <alignment horizontal="left"/>
    </xf>
    <xf numFmtId="1" fontId="11" fillId="4" borderId="1" xfId="4" applyNumberFormat="1" applyFont="1" applyFill="1" applyBorder="1" applyAlignment="1">
      <alignment horizontal="right"/>
    </xf>
    <xf numFmtId="3" fontId="11" fillId="4" borderId="1" xfId="4" applyNumberFormat="1" applyFont="1" applyFill="1" applyBorder="1" applyAlignment="1">
      <alignment horizontal="right"/>
    </xf>
    <xf numFmtId="0" fontId="10" fillId="5" borderId="1" xfId="1" applyFont="1" applyFill="1" applyBorder="1" applyAlignment="1">
      <alignment horizontal="right"/>
    </xf>
    <xf numFmtId="0" fontId="14" fillId="0" borderId="2" xfId="1" applyFont="1" applyBorder="1" applyAlignment="1">
      <alignment vertical="center"/>
    </xf>
    <xf numFmtId="0" fontId="14" fillId="0" borderId="3" xfId="1" applyFont="1" applyBorder="1" applyAlignment="1">
      <alignment vertical="center"/>
    </xf>
    <xf numFmtId="0" fontId="14" fillId="0" borderId="0" xfId="1" applyFont="1" applyAlignment="1">
      <alignment vertical="center" wrapText="1"/>
    </xf>
    <xf numFmtId="0" fontId="15" fillId="0" borderId="0" xfId="4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4" fillId="0" borderId="0" xfId="4" quotePrefix="1" applyFont="1" applyAlignment="1">
      <alignment horizontal="left"/>
    </xf>
    <xf numFmtId="1" fontId="14" fillId="0" borderId="0" xfId="1" applyNumberFormat="1" applyFont="1" applyAlignment="1">
      <alignment horizontal="left" vertical="center" wrapText="1"/>
    </xf>
    <xf numFmtId="0" fontId="11" fillId="0" borderId="0" xfId="1" applyFont="1"/>
  </cellXfs>
  <cellStyles count="5">
    <cellStyle name="Normal" xfId="0" builtinId="0"/>
    <cellStyle name="Normal 2 2 3 5" xfId="3" xr:uid="{79E9E6A0-80D8-4BF5-A958-2459E8A2F68E}"/>
    <cellStyle name="Normal 259" xfId="1" xr:uid="{1C8192A1-39C4-4CE0-8E76-0469075A9BFA}"/>
    <cellStyle name="Normal 259 4" xfId="4" xr:uid="{1CD6F079-F7ED-4938-8878-CECA8D856686}"/>
    <cellStyle name="Normal 4 2" xfId="2" xr:uid="{0898E900-43A8-43E2-99DD-A4BA99DF387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838200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DA915-8EDD-4B36-94A6-3BCD3272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38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110\Desktop\202206_VP_1_ImportExportMasterSheet_Server_Valuewise20220616-16395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Maste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20" workbookViewId="0">
      <selection activeCell="A38" sqref="A38"/>
    </sheetView>
  </sheetViews>
  <sheetFormatPr defaultRowHeight="15"/>
  <cols>
    <col min="1" max="1" width="32.28515625" customWidth="1"/>
    <col min="2" max="2" width="9.85546875" customWidth="1"/>
    <col min="3" max="3" width="7.85546875" customWidth="1"/>
    <col min="4" max="5" width="8.5703125" bestFit="1" customWidth="1"/>
    <col min="6" max="6" width="12.7109375" bestFit="1" customWidth="1"/>
    <col min="7" max="7" width="18.140625" bestFit="1" customWidth="1"/>
    <col min="8" max="8" width="15" bestFit="1" customWidth="1"/>
    <col min="9" max="9" width="17.42578125" bestFit="1" customWidth="1"/>
    <col min="10" max="10" width="17.140625" bestFit="1" customWidth="1"/>
    <col min="11" max="11" width="14.5703125" bestFit="1" customWidth="1"/>
    <col min="12" max="12" width="16.5703125" bestFit="1" customWidth="1"/>
    <col min="13" max="13" width="12" bestFit="1" customWidth="1"/>
    <col min="14" max="14" width="11" bestFit="1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0.25">
      <c r="A3" s="2"/>
      <c r="B3" s="1"/>
      <c r="C3" s="1"/>
      <c r="D3" s="1"/>
      <c r="E3" s="3" t="s">
        <v>0</v>
      </c>
      <c r="F3" s="1"/>
      <c r="G3" s="1"/>
      <c r="H3" s="1"/>
      <c r="I3" s="1"/>
      <c r="J3" s="1"/>
      <c r="K3" s="1"/>
      <c r="L3" s="1"/>
      <c r="M3" s="1"/>
      <c r="N3" s="1"/>
    </row>
    <row r="4" spans="1:14" ht="18.75">
      <c r="A4" s="2"/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</row>
    <row r="5" spans="1:14" ht="18.75">
      <c r="A5" s="5" t="e">
        <f>VLOOKUP(#REF!,[1]OtherMaster!$A$3:$D$86,2,FALSE)</f>
        <v>#REF!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18.7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74.25">
      <c r="A8" s="10" t="s">
        <v>3</v>
      </c>
      <c r="B8" s="11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1" t="s">
        <v>13</v>
      </c>
      <c r="L8" s="11" t="s">
        <v>14</v>
      </c>
      <c r="M8" s="11" t="s">
        <v>15</v>
      </c>
      <c r="N8" s="11" t="s">
        <v>16</v>
      </c>
    </row>
    <row r="9" spans="1:14" ht="15.75">
      <c r="A9" s="12" t="s">
        <v>17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.75">
      <c r="A10" s="14" t="s">
        <v>18</v>
      </c>
      <c r="B10" s="15">
        <v>21626.169696184999</v>
      </c>
      <c r="C10" s="15">
        <v>19644.263621534999</v>
      </c>
      <c r="D10" s="15">
        <v>19117.109757542003</v>
      </c>
      <c r="E10" s="15">
        <v>20948.163959481997</v>
      </c>
      <c r="F10" s="15">
        <v>17637.182315265003</v>
      </c>
      <c r="G10" s="15">
        <v>16458.408431765001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6">
        <f>SUM(B10:M10)</f>
        <v>115431.297781774</v>
      </c>
    </row>
    <row r="11" spans="1:14" ht="15.75">
      <c r="A11" s="14" t="s">
        <v>19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</row>
    <row r="12" spans="1:14">
      <c r="A12" s="15" t="s">
        <v>20</v>
      </c>
      <c r="B12" s="15">
        <v>1611.8277848333335</v>
      </c>
      <c r="C12" s="15">
        <v>1369.6763148333334</v>
      </c>
      <c r="D12" s="15">
        <v>1270.2961578333334</v>
      </c>
      <c r="E12" s="15">
        <v>1428.0837928333331</v>
      </c>
      <c r="F12" s="15">
        <v>1580.3065288333332</v>
      </c>
      <c r="G12" s="15">
        <v>1454.5820328333334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6">
        <f t="shared" ref="N12:N22" si="0">SUM(B12:M12)</f>
        <v>8714.7726120000007</v>
      </c>
    </row>
    <row r="13" spans="1:14">
      <c r="A13" s="17" t="s">
        <v>21</v>
      </c>
      <c r="B13" s="15">
        <v>1.5218333333333332E-3</v>
      </c>
      <c r="C13" s="15">
        <v>1.5218333333333332E-3</v>
      </c>
      <c r="D13" s="15">
        <v>127.50101283333333</v>
      </c>
      <c r="E13" s="15">
        <v>62.846372833333334</v>
      </c>
      <c r="F13" s="15">
        <v>1.5218333333333332E-3</v>
      </c>
      <c r="G13" s="15">
        <v>151.60746983333331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6">
        <f t="shared" si="0"/>
        <v>341.95942100000002</v>
      </c>
    </row>
    <row r="14" spans="1:14">
      <c r="A14" s="15" t="s">
        <v>22</v>
      </c>
      <c r="B14" s="15">
        <v>134.67623974999998</v>
      </c>
      <c r="C14" s="15">
        <v>99.318796749999976</v>
      </c>
      <c r="D14" s="15">
        <v>99.318796749999976</v>
      </c>
      <c r="E14" s="15">
        <v>134.31879674999999</v>
      </c>
      <c r="F14" s="15">
        <v>158.28323274999997</v>
      </c>
      <c r="G14" s="15">
        <v>175.35070874999997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6">
        <f t="shared" si="0"/>
        <v>801.26657149999983</v>
      </c>
    </row>
    <row r="15" spans="1:14">
      <c r="A15" s="15" t="s">
        <v>23</v>
      </c>
      <c r="B15" s="15">
        <v>2.6333333333333336E-4</v>
      </c>
      <c r="C15" s="15">
        <v>2.6333333333333336E-4</v>
      </c>
      <c r="D15" s="15">
        <v>2.6333333333333336E-4</v>
      </c>
      <c r="E15" s="15">
        <v>2.6333333333333336E-4</v>
      </c>
      <c r="F15" s="15">
        <v>2.6333333333333336E-4</v>
      </c>
      <c r="G15" s="15">
        <v>2.6333333333333336E-4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6">
        <f t="shared" si="0"/>
        <v>1.58E-3</v>
      </c>
    </row>
    <row r="16" spans="1:14">
      <c r="A16" s="17" t="s">
        <v>24</v>
      </c>
      <c r="B16" s="15">
        <v>2.3750249999999997E-2</v>
      </c>
      <c r="C16" s="15">
        <v>2.3750249999999997E-2</v>
      </c>
      <c r="D16" s="15">
        <v>2.3750249999999997E-2</v>
      </c>
      <c r="E16" s="15">
        <v>2.3750249999999997E-2</v>
      </c>
      <c r="F16" s="15">
        <v>2.3750249999999997E-2</v>
      </c>
      <c r="G16" s="15">
        <v>2.3750249999999997E-2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6">
        <f t="shared" si="0"/>
        <v>0.14250149999999998</v>
      </c>
    </row>
    <row r="17" spans="1:14">
      <c r="A17" s="15" t="s">
        <v>25</v>
      </c>
      <c r="B17" s="15">
        <v>6.2698515000000006</v>
      </c>
      <c r="C17" s="15">
        <v>6.2698515000000006</v>
      </c>
      <c r="D17" s="15">
        <v>118.1280915</v>
      </c>
      <c r="E17" s="15">
        <v>150.89145450000001</v>
      </c>
      <c r="F17" s="15">
        <v>6.2698515000000006</v>
      </c>
      <c r="G17" s="15">
        <v>6.2698515000000006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6">
        <f t="shared" si="0"/>
        <v>294.09895200000005</v>
      </c>
    </row>
    <row r="18" spans="1:14">
      <c r="A18" s="15" t="s">
        <v>26</v>
      </c>
      <c r="B18" s="15">
        <v>268.62505033333338</v>
      </c>
      <c r="C18" s="15">
        <v>264.29659933333335</v>
      </c>
      <c r="D18" s="15">
        <v>260.12949733333335</v>
      </c>
      <c r="E18" s="15">
        <v>255.20977933333336</v>
      </c>
      <c r="F18" s="15">
        <v>262.25824733333337</v>
      </c>
      <c r="G18" s="15">
        <v>252.09978533333336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6">
        <f t="shared" si="0"/>
        <v>1562.6189590000001</v>
      </c>
    </row>
    <row r="19" spans="1:14">
      <c r="A19" s="15" t="s">
        <v>27</v>
      </c>
      <c r="B19" s="15">
        <v>998.61827966666669</v>
      </c>
      <c r="C19" s="15">
        <v>472.60768266666662</v>
      </c>
      <c r="D19" s="15">
        <v>590.23807366666665</v>
      </c>
      <c r="E19" s="15">
        <v>755.94102266666664</v>
      </c>
      <c r="F19" s="15">
        <v>689.47709366666663</v>
      </c>
      <c r="G19" s="15">
        <v>561.2001776666666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6">
        <f t="shared" si="0"/>
        <v>4068.0823300000002</v>
      </c>
    </row>
    <row r="20" spans="1:14">
      <c r="A20" s="15" t="s">
        <v>28</v>
      </c>
      <c r="B20" s="15">
        <v>219.38443658333347</v>
      </c>
      <c r="C20" s="15">
        <v>219.38443658333347</v>
      </c>
      <c r="D20" s="15">
        <v>219.38443658333347</v>
      </c>
      <c r="E20" s="15">
        <v>219.38443658333347</v>
      </c>
      <c r="F20" s="15">
        <v>219.38443658333347</v>
      </c>
      <c r="G20" s="15">
        <v>226.97639958333346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6">
        <f t="shared" si="0"/>
        <v>1323.8985825000007</v>
      </c>
    </row>
    <row r="21" spans="1:14">
      <c r="A21" s="15" t="s">
        <v>29</v>
      </c>
      <c r="B21" s="15">
        <v>478.23617349999995</v>
      </c>
      <c r="C21" s="15">
        <v>478.23617349999995</v>
      </c>
      <c r="D21" s="15">
        <v>478.23617349999995</v>
      </c>
      <c r="E21" s="15">
        <v>478.23617349999995</v>
      </c>
      <c r="F21" s="15">
        <v>478.23617349999995</v>
      </c>
      <c r="G21" s="15">
        <v>478.23617349999995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6">
        <f t="shared" si="0"/>
        <v>2869.4170409999997</v>
      </c>
    </row>
    <row r="22" spans="1:14">
      <c r="A22" s="15" t="s">
        <v>30</v>
      </c>
      <c r="B22" s="15">
        <v>238.66374491666662</v>
      </c>
      <c r="C22" s="15">
        <v>271.78496991666657</v>
      </c>
      <c r="D22" s="15">
        <v>171.52851291666661</v>
      </c>
      <c r="E22" s="15">
        <v>171.19325891666659</v>
      </c>
      <c r="F22" s="15">
        <v>235.26051291666661</v>
      </c>
      <c r="G22" s="15">
        <v>171.15212691666662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6">
        <f t="shared" si="0"/>
        <v>1259.5831264999997</v>
      </c>
    </row>
    <row r="23" spans="1:14" ht="15.75">
      <c r="A23" s="18" t="s">
        <v>31</v>
      </c>
      <c r="B23" s="19">
        <f>SUM(B12:B22)</f>
        <v>3956.3270964999997</v>
      </c>
      <c r="C23" s="19">
        <f>SUM(C12:C22)</f>
        <v>3181.6003604999996</v>
      </c>
      <c r="D23" s="19">
        <f>SUM(D12:D22)</f>
        <v>3334.7847664999999</v>
      </c>
      <c r="E23" s="19">
        <f>SUM(E12:E22)</f>
        <v>3656.1291015000002</v>
      </c>
      <c r="F23" s="19">
        <f t="shared" ref="F23:N23" si="1">SUM(F12:F22)</f>
        <v>3629.5016125000002</v>
      </c>
      <c r="G23" s="19">
        <f t="shared" si="1"/>
        <v>3477.4987394999998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19">
        <f t="shared" si="1"/>
        <v>0</v>
      </c>
      <c r="M23" s="19">
        <f t="shared" si="1"/>
        <v>0</v>
      </c>
      <c r="N23" s="19">
        <f t="shared" si="1"/>
        <v>21235.841677000004</v>
      </c>
    </row>
    <row r="24" spans="1:14" ht="15.75">
      <c r="A24" s="20" t="s">
        <v>32</v>
      </c>
      <c r="B24" s="19">
        <f>+B23+B10</f>
        <v>25582.496792685</v>
      </c>
      <c r="C24" s="19">
        <f>+C23+C10</f>
        <v>22825.863982035</v>
      </c>
      <c r="D24" s="19">
        <f>+D23+D10</f>
        <v>22451.894524042003</v>
      </c>
      <c r="E24" s="19">
        <f t="shared" ref="E24:N24" si="2">+E23+E10</f>
        <v>24604.293060981996</v>
      </c>
      <c r="F24" s="19">
        <f t="shared" si="2"/>
        <v>21266.683927765003</v>
      </c>
      <c r="G24" s="19">
        <f t="shared" si="2"/>
        <v>19935.907171265</v>
      </c>
      <c r="H24" s="19">
        <f t="shared" si="2"/>
        <v>0</v>
      </c>
      <c r="I24" s="19">
        <f t="shared" si="2"/>
        <v>0</v>
      </c>
      <c r="J24" s="19">
        <f t="shared" si="2"/>
        <v>0</v>
      </c>
      <c r="K24" s="19">
        <f t="shared" si="2"/>
        <v>0</v>
      </c>
      <c r="L24" s="19">
        <f t="shared" si="2"/>
        <v>0</v>
      </c>
      <c r="M24" s="19">
        <f t="shared" si="2"/>
        <v>0</v>
      </c>
      <c r="N24" s="19">
        <f t="shared" si="2"/>
        <v>136667.13945877401</v>
      </c>
    </row>
    <row r="25" spans="1:14" ht="15.75">
      <c r="A25" s="21" t="s">
        <v>33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</row>
    <row r="26" spans="1:14">
      <c r="A26" s="22" t="s">
        <v>20</v>
      </c>
      <c r="B26" s="15">
        <v>47.124890000000001</v>
      </c>
      <c r="C26" s="15">
        <v>47.032859999999999</v>
      </c>
      <c r="D26" s="15">
        <v>49.394559999999998</v>
      </c>
      <c r="E26" s="15">
        <v>41.12585</v>
      </c>
      <c r="F26" s="15">
        <v>38.869889999999998</v>
      </c>
      <c r="G26" s="15">
        <v>39.62829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6">
        <f t="shared" ref="N26:N37" si="3">SUM(B26:M26)</f>
        <v>263.17633999999998</v>
      </c>
    </row>
    <row r="27" spans="1:14">
      <c r="A27" s="23" t="s">
        <v>34</v>
      </c>
      <c r="B27" s="15">
        <v>1401.3952088945</v>
      </c>
      <c r="C27" s="15">
        <v>1155.8775591804001</v>
      </c>
      <c r="D27" s="15">
        <v>1160.5754985166</v>
      </c>
      <c r="E27" s="15">
        <v>1108.3597234695999</v>
      </c>
      <c r="F27" s="15">
        <v>1017.2559177246001</v>
      </c>
      <c r="G27" s="15">
        <v>669.59653915500007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6">
        <f t="shared" si="3"/>
        <v>6513.0604469407008</v>
      </c>
    </row>
    <row r="28" spans="1:14">
      <c r="A28" s="22" t="s">
        <v>35</v>
      </c>
      <c r="B28" s="15">
        <v>610.66256999999996</v>
      </c>
      <c r="C28" s="15">
        <v>556.05660799999998</v>
      </c>
      <c r="D28" s="15">
        <v>815.0855160000001</v>
      </c>
      <c r="E28" s="15">
        <v>354.59431600000005</v>
      </c>
      <c r="F28" s="15">
        <v>413.78567399999997</v>
      </c>
      <c r="G28" s="15">
        <v>467.85066499999999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6">
        <f t="shared" si="3"/>
        <v>3218.0353489999998</v>
      </c>
    </row>
    <row r="29" spans="1:14">
      <c r="A29" s="22" t="s">
        <v>36</v>
      </c>
      <c r="B29" s="15">
        <v>349.84979628569999</v>
      </c>
      <c r="C29" s="15">
        <v>447.55360188819992</v>
      </c>
      <c r="D29" s="15">
        <v>590.64547300619995</v>
      </c>
      <c r="E29" s="15">
        <v>582.74023708699997</v>
      </c>
      <c r="F29" s="15">
        <v>744.8230913292</v>
      </c>
      <c r="G29" s="15">
        <v>689.04576698760002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6">
        <f t="shared" si="3"/>
        <v>3404.6579665838999</v>
      </c>
    </row>
    <row r="30" spans="1:14">
      <c r="A30" s="17" t="s">
        <v>24</v>
      </c>
      <c r="B30" s="15">
        <v>1.8883582557</v>
      </c>
      <c r="C30" s="15">
        <v>0.61066311750000002</v>
      </c>
      <c r="D30" s="15">
        <v>1.1900101777000001</v>
      </c>
      <c r="E30" s="15">
        <v>0.92382369060000002</v>
      </c>
      <c r="F30" s="15">
        <v>0.42276677369999999</v>
      </c>
      <c r="G30" s="15">
        <v>0.75158537540000003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6">
        <f t="shared" si="3"/>
        <v>5.7872073906000008</v>
      </c>
    </row>
    <row r="31" spans="1:14">
      <c r="A31" s="15" t="s">
        <v>25</v>
      </c>
      <c r="B31" s="15">
        <v>2693.2399226943003</v>
      </c>
      <c r="C31" s="15">
        <v>3057.8946043951005</v>
      </c>
      <c r="D31" s="15">
        <v>2452.1353719489998</v>
      </c>
      <c r="E31" s="15">
        <v>2184.1005135188998</v>
      </c>
      <c r="F31" s="15">
        <v>2360.8890648492998</v>
      </c>
      <c r="G31" s="15">
        <v>2685.2845653513004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6">
        <f t="shared" si="3"/>
        <v>15433.544042757901</v>
      </c>
    </row>
    <row r="32" spans="1:14">
      <c r="A32" s="15" t="s">
        <v>37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6">
        <f t="shared" si="3"/>
        <v>0</v>
      </c>
    </row>
    <row r="33" spans="1:14">
      <c r="A33" s="15" t="s">
        <v>38</v>
      </c>
      <c r="B33" s="15">
        <v>21.0707370342</v>
      </c>
      <c r="C33" s="15">
        <v>15.965458999999999</v>
      </c>
      <c r="D33" s="15">
        <v>32.2799673106</v>
      </c>
      <c r="E33" s="15">
        <v>0.2003135512</v>
      </c>
      <c r="F33" s="15">
        <v>0.1269765709</v>
      </c>
      <c r="G33" s="15">
        <v>2.3358192206999999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6">
        <f t="shared" si="3"/>
        <v>71.979272687600002</v>
      </c>
    </row>
    <row r="34" spans="1:14">
      <c r="A34" s="15" t="s">
        <v>27</v>
      </c>
      <c r="B34" s="15">
        <v>41.939214999999997</v>
      </c>
      <c r="C34" s="15">
        <v>76.751638999999997</v>
      </c>
      <c r="D34" s="15">
        <v>126.830478</v>
      </c>
      <c r="E34" s="15">
        <v>186.16331400000001</v>
      </c>
      <c r="F34" s="15">
        <v>221.402174</v>
      </c>
      <c r="G34" s="15">
        <v>155.731447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6">
        <f t="shared" si="3"/>
        <v>808.81826699999999</v>
      </c>
    </row>
    <row r="35" spans="1:14">
      <c r="A35" s="15" t="s">
        <v>28</v>
      </c>
      <c r="B35" s="15">
        <v>0</v>
      </c>
      <c r="C35" s="15">
        <v>0.136074</v>
      </c>
      <c r="D35" s="15">
        <v>0.98650000000000004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6">
        <f t="shared" si="3"/>
        <v>1.122574</v>
      </c>
    </row>
    <row r="36" spans="1:14">
      <c r="A36" s="15" t="s">
        <v>39</v>
      </c>
      <c r="B36" s="15">
        <v>4.4000000000000004</v>
      </c>
      <c r="C36" s="15">
        <v>33</v>
      </c>
      <c r="D36" s="15">
        <v>35.5</v>
      </c>
      <c r="E36" s="15">
        <v>11</v>
      </c>
      <c r="F36" s="15">
        <v>38.5</v>
      </c>
      <c r="G36" s="15">
        <v>16.5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6">
        <f t="shared" si="3"/>
        <v>138.9</v>
      </c>
    </row>
    <row r="37" spans="1:14">
      <c r="A37" s="15" t="s">
        <v>40</v>
      </c>
      <c r="B37" s="15">
        <v>259.40830799999998</v>
      </c>
      <c r="C37" s="15">
        <v>284.51783276399993</v>
      </c>
      <c r="D37" s="15">
        <v>235.20857700000005</v>
      </c>
      <c r="E37" s="15">
        <v>213.67492699999997</v>
      </c>
      <c r="F37" s="15">
        <v>398.12709799999999</v>
      </c>
      <c r="G37" s="15">
        <v>254.45821000000004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6">
        <f t="shared" si="3"/>
        <v>1645.394952764</v>
      </c>
    </row>
    <row r="38" spans="1:14" ht="15.75">
      <c r="A38" s="24" t="s">
        <v>41</v>
      </c>
      <c r="B38" s="19">
        <f t="shared" ref="B38:N38" si="4">SUM(B26:B37)</f>
        <v>5430.9790061644007</v>
      </c>
      <c r="C38" s="19">
        <f t="shared" si="4"/>
        <v>5675.3969013452006</v>
      </c>
      <c r="D38" s="19">
        <f t="shared" si="4"/>
        <v>5499.8319519601</v>
      </c>
      <c r="E38" s="19">
        <f t="shared" si="4"/>
        <v>4682.8830183173004</v>
      </c>
      <c r="F38" s="19">
        <f t="shared" si="4"/>
        <v>5234.2026532476993</v>
      </c>
      <c r="G38" s="19">
        <f t="shared" si="4"/>
        <v>4981.1828880900002</v>
      </c>
      <c r="H38" s="19">
        <f t="shared" si="4"/>
        <v>0</v>
      </c>
      <c r="I38" s="19">
        <f t="shared" si="4"/>
        <v>0</v>
      </c>
      <c r="J38" s="19">
        <f t="shared" si="4"/>
        <v>0</v>
      </c>
      <c r="K38" s="19">
        <f t="shared" si="4"/>
        <v>0</v>
      </c>
      <c r="L38" s="19">
        <f t="shared" si="4"/>
        <v>0</v>
      </c>
      <c r="M38" s="19">
        <f t="shared" si="4"/>
        <v>0</v>
      </c>
      <c r="N38" s="19">
        <f t="shared" si="4"/>
        <v>31504.476419124701</v>
      </c>
    </row>
    <row r="39" spans="1:14" ht="15.75">
      <c r="A39" s="20" t="s">
        <v>42</v>
      </c>
      <c r="B39" s="19">
        <f t="shared" ref="B39:N39" si="5">+B24-B38</f>
        <v>20151.517786520599</v>
      </c>
      <c r="C39" s="19">
        <f t="shared" si="5"/>
        <v>17150.467080689799</v>
      </c>
      <c r="D39" s="19">
        <f t="shared" si="5"/>
        <v>16952.062572081904</v>
      </c>
      <c r="E39" s="19">
        <f t="shared" si="5"/>
        <v>19921.410042664695</v>
      </c>
      <c r="F39" s="19">
        <f t="shared" si="5"/>
        <v>16032.481274517304</v>
      </c>
      <c r="G39" s="19">
        <f t="shared" si="5"/>
        <v>14954.724283175001</v>
      </c>
      <c r="H39" s="19">
        <f t="shared" si="5"/>
        <v>0</v>
      </c>
      <c r="I39" s="19">
        <f t="shared" si="5"/>
        <v>0</v>
      </c>
      <c r="J39" s="19">
        <f t="shared" si="5"/>
        <v>0</v>
      </c>
      <c r="K39" s="19">
        <f t="shared" si="5"/>
        <v>0</v>
      </c>
      <c r="L39" s="19">
        <f t="shared" si="5"/>
        <v>0</v>
      </c>
      <c r="M39" s="19">
        <f t="shared" si="5"/>
        <v>0</v>
      </c>
      <c r="N39" s="19">
        <f t="shared" si="5"/>
        <v>105162.66303964931</v>
      </c>
    </row>
    <row r="40" spans="1:14">
      <c r="A40" s="25" t="s">
        <v>43</v>
      </c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 spans="1:14">
      <c r="A41" s="28" t="s">
        <v>44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14">
      <c r="A42" s="30" t="s">
        <v>45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>
      <c r="A43" s="30" t="s">
        <v>46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1"/>
    </row>
    <row r="44" spans="1:14">
      <c r="A44" s="30" t="s">
        <v>47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1"/>
    </row>
    <row r="45" spans="1:14">
      <c r="A45" s="30" t="s">
        <v>48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1"/>
    </row>
    <row r="46" spans="1:14">
      <c r="A46" s="30" t="s">
        <v>49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1"/>
    </row>
    <row r="47" spans="1:14">
      <c r="A47" s="30" t="s">
        <v>50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1"/>
    </row>
    <row r="48" spans="1:14">
      <c r="A48" s="30" t="s">
        <v>51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1"/>
    </row>
  </sheetData>
  <mergeCells count="2">
    <mergeCell ref="A6:N6"/>
    <mergeCell ref="A7: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2022-11-23T10:30:23Z</dcterms:created>
  <dcterms:modified xsi:type="dcterms:W3CDTF">2022-11-23T10:35:19Z</dcterms:modified>
  <cp:category/>
  <cp:contentStatus/>
</cp:coreProperties>
</file>